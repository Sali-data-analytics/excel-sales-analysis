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K\Desktop\"/>
    </mc:Choice>
  </mc:AlternateContent>
  <xr:revisionPtr revIDLastSave="0" documentId="13_ncr:1_{A7854766-BB43-4A26-A70E-73B4F5DDC154}" xr6:coauthVersionLast="47" xr6:coauthVersionMax="47" xr10:uidLastSave="{00000000-0000-0000-0000-000000000000}"/>
  <bookViews>
    <workbookView xWindow="-120" yWindow="-120" windowWidth="20730" windowHeight="11160" xr2:uid="{BE4A71ED-A70E-482B-9FB2-6884370768B7}"/>
  </bookViews>
  <sheets>
    <sheet name="Insights" sheetId="4" r:id="rId1"/>
    <sheet name="Analysis" sheetId="5" r:id="rId2"/>
    <sheet name="SalesTable" sheetId="2" r:id="rId3"/>
    <sheet name="Customers" sheetId="3" r:id="rId4"/>
  </sheets>
  <definedNames>
    <definedName name="Slicer_City">#N/A</definedName>
    <definedName name="Slicer_Segment">#N/A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 i="4" l="1"/>
  <c r="T20" i="5"/>
  <c r="R20" i="5"/>
  <c r="N11" i="2"/>
  <c r="M13" i="2"/>
  <c r="Q4" i="2"/>
  <c r="R3" i="2"/>
  <c r="R5" i="2"/>
  <c r="Q9" i="2"/>
  <c r="Q6" i="2"/>
  <c r="P3" i="2"/>
  <c r="N7" i="2"/>
  <c r="O5" i="2"/>
  <c r="O10" i="2"/>
  <c r="M4" i="2" a="1"/>
  <c r="M4" i="2" s="1"/>
  <c r="J2" i="2"/>
  <c r="J3" i="2"/>
  <c r="J4" i="2"/>
  <c r="J5" i="2"/>
  <c r="J6" i="2"/>
  <c r="J7" i="2"/>
  <c r="J8" i="2"/>
  <c r="J9" i="2"/>
  <c r="J10" i="2"/>
  <c r="J11" i="2"/>
  <c r="J12" i="2"/>
  <c r="J13" i="2"/>
  <c r="I2" i="2"/>
  <c r="I3" i="2"/>
  <c r="I4" i="2"/>
  <c r="I5" i="2"/>
  <c r="I6" i="2"/>
  <c r="I7" i="2"/>
  <c r="I8" i="2"/>
  <c r="I9" i="2"/>
  <c r="I10" i="2"/>
  <c r="I11" i="2"/>
  <c r="I12" i="2"/>
  <c r="I13" i="2"/>
  <c r="H2" i="2"/>
  <c r="H3" i="2"/>
  <c r="H4" i="2"/>
  <c r="H5" i="2"/>
  <c r="H6" i="2"/>
  <c r="H7" i="2"/>
  <c r="H8" i="2"/>
  <c r="H9" i="2"/>
  <c r="H10" i="2"/>
  <c r="H11" i="2"/>
  <c r="H12" i="2"/>
  <c r="H13" i="2"/>
  <c r="K13" i="2"/>
  <c r="K12" i="2" s="1"/>
  <c r="K11" i="2" s="1"/>
  <c r="K10" i="2" s="1"/>
  <c r="K9" i="2" s="1"/>
  <c r="K8" i="2" s="1"/>
  <c r="K7" i="2" s="1"/>
  <c r="K6" i="2" s="1"/>
  <c r="K5" i="2" s="1"/>
  <c r="K4" i="2" s="1"/>
  <c r="K3" i="2" s="1"/>
  <c r="K2" i="2" s="1"/>
  <c r="G2" i="2"/>
  <c r="G3" i="2"/>
  <c r="G4" i="2"/>
  <c r="G5" i="2"/>
  <c r="G6" i="2"/>
  <c r="G7" i="2"/>
  <c r="G8" i="2"/>
  <c r="G9" i="2"/>
  <c r="G10" i="2"/>
  <c r="G11" i="2"/>
  <c r="G12" i="2"/>
  <c r="G13" i="2"/>
  <c r="B14" i="4"/>
  <c r="B13" i="4"/>
  <c r="B12" i="4"/>
  <c r="B15"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<sst xmlns="http://schemas.openxmlformats.org/spreadsheetml/2006/main" count="112" uniqueCount="62">
  <si>
    <t>OrderID</t>
  </si>
  <si>
    <t>Date</t>
  </si>
  <si>
    <t>Product</t>
  </si>
  <si>
    <t>City</t>
  </si>
  <si>
    <t>Quantity</t>
  </si>
  <si>
    <t>UnitPrice</t>
  </si>
  <si>
    <t>Laptop</t>
  </si>
  <si>
    <t>Berlin</t>
  </si>
  <si>
    <t>Mouse</t>
  </si>
  <si>
    <t>Hamburg</t>
  </si>
  <si>
    <t>Keyboard</t>
  </si>
  <si>
    <t>Monitor</t>
  </si>
  <si>
    <t>Munich</t>
  </si>
  <si>
    <t>CustomerID</t>
  </si>
  <si>
    <t>C01</t>
  </si>
  <si>
    <t>C02</t>
  </si>
  <si>
    <t>C03</t>
  </si>
  <si>
    <t>C04</t>
  </si>
  <si>
    <t>C05</t>
  </si>
  <si>
    <t>CustomerName</t>
  </si>
  <si>
    <t>Segment</t>
  </si>
  <si>
    <t>Sara</t>
  </si>
  <si>
    <t>Retail</t>
  </si>
  <si>
    <t>Ali</t>
  </si>
  <si>
    <t>Corporate</t>
  </si>
  <si>
    <t>Mina</t>
  </si>
  <si>
    <t>Reza</t>
  </si>
  <si>
    <t>Neda</t>
  </si>
  <si>
    <t>Small Business</t>
  </si>
  <si>
    <t xml:space="preserve"> OrderLevel</t>
  </si>
  <si>
    <t>Revenue</t>
  </si>
  <si>
    <t>Row Labels</t>
  </si>
  <si>
    <t>Grand Total</t>
  </si>
  <si>
    <t>Jan</t>
  </si>
  <si>
    <t>Mar</t>
  </si>
  <si>
    <t>Apr</t>
  </si>
  <si>
    <t>Sum of Revenue</t>
  </si>
  <si>
    <t>Feb</t>
  </si>
  <si>
    <t>Sales Analysis Insights</t>
  </si>
  <si>
    <t>Analysis Period: January–April 2026</t>
  </si>
  <si>
    <t>Business Question</t>
  </si>
  <si>
    <t>Answer</t>
  </si>
  <si>
    <t>Key Metric</t>
  </si>
  <si>
    <t>Insight</t>
  </si>
  <si>
    <t>Which month generated the highest revenue?</t>
  </si>
  <si>
    <t>March generated the highest revenue.</t>
  </si>
  <si>
    <t>€2,230 (38.8%)</t>
  </si>
  <si>
    <t>March was the strongest month, but revenue declined to €930 in April. The reason for the 58.3% decrease should be investigated.</t>
  </si>
  <si>
    <t>Which product generated the highest revenue?</t>
  </si>
  <si>
    <t>Laptop generated the highest revenue.</t>
  </si>
  <si>
    <t>€3,390 (59.0%)</t>
  </si>
  <si>
    <t>Revenue is strongly dependent on Laptop sales. Product diversification could reduce this concentration.</t>
  </si>
  <si>
    <t>Which customer generated the highest revenue?</t>
  </si>
  <si>
    <t>Customer C04 generated the highest revenue.</t>
  </si>
  <si>
    <t>€2,490 (43.4%)</t>
  </si>
  <si>
    <t>Revenue is highly concentrated in customer C04. A reduction in this customer’s purchases could significantly affect total sales.</t>
  </si>
  <si>
    <t>Reconciliation Check</t>
  </si>
  <si>
    <t>Source Revenue</t>
  </si>
  <si>
    <t>Monthly Pivot Total</t>
  </si>
  <si>
    <t>Product Pivot Total</t>
  </si>
  <si>
    <t>Customer Pivot Total</t>
  </si>
  <si>
    <t>Reconciliation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</si>
</sst>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0"/>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2" fontId="0" fillId="0" borderId="0" xfId="1" applyNumberFormat="1" applyFont="1"/>
    <xf numFmtId="164" fontId="0" fillId="0" borderId="0" xfId="1" applyNumberFormat="1" applyFont="1"/>
    <xf numFmtId="0" fontId="3" fillId="2" borderId="0" xfId="0" applyFont="1" applyFill="1" applyAlignment="1">
      <alignment horizontal="center"/>
    </xf>
    <xf numFmtId="0" fontId="2" fillId="3" borderId="1" xfId="0" applyFont="1" applyFill="1" applyBorder="1" applyAlignment="1">
      <alignment wrapText="1"/>
    </xf>
    <xf numFmtId="0" fontId="0" fillId="0" borderId="1" xfId="0" applyBorder="1" applyAlignment="1">
      <alignment vertical="top" wrapText="1"/>
    </xf>
    <xf numFmtId="0" fontId="4" fillId="0" borderId="0" xfId="0" applyFont="1"/>
    <xf numFmtId="0" fontId="2" fillId="3" borderId="0" xfId="0" applyFont="1" applyFill="1" applyAlignment="1">
      <alignment horizontal="center"/>
    </xf>
  </cellXfs>
  <cellStyles count="2">
    <cellStyle name="Normal" xfId="0" builtinId="0"/>
    <cellStyle name="Percent" xfId="1" builtinId="5"/>
  </cellStyles>
  <dxfs count="6">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[Excel_Sales_Analysis_Salimeh_Bagherpour.xlsx]Analysis!PivotTable1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endParaRPr lang="fa-I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Analysis!$A$4:$A$8</c:f>
              <c:strCache>
                <c:ptCount val="4"/>
                <c:pt idx="0">
                  <c:v>Jan</c:v>
                </c:pt>
                <c:pt idx="1">
                  <c:v>Feb</c:v>
                </c:pt>
                <c:pt idx="2">
                  <c:v>Mar</c:v>
                </c:pt>
                <c:pt idx="3">
                  <c:v>Apr</c:v>
                </c:pt>
              </c:strCache>
            </c:strRef>
          </c:cat>
          <c:val>
            <c:numRef>
              <c:f>Analysis!$B$4:$B$8</c:f>
              <c:numCache>
                <c:formatCode>General</c:formatCode>
                <c:ptCount val="4"/>
                <c:pt idx="0">
                  <c:v>1500</c:v>
                </c:pt>
                <c:pt idx="1">
                  <c:v>1084</c:v>
                </c:pt>
                <c:pt idx="2">
                  <c:v>2230</c:v>
                </c:pt>
                <c:pt idx="3">
                  <c:v>930</c:v>
                </c:pt>
              </c:numCache>
            </c:numRef>
          </c:val>
          <c:smooth val="0"/>
          <c:extLst>
            <c:ext xmlns:c16="http://schemas.microsoft.com/office/drawing/2014/chart" uri="{C3380CC4-5D6E-409C-BE32-E72D297353CC}">
              <c16:uniqueId val="{00000000-0D30-4CCC-BDE5-C085878CD40F}"/>
            </c:ext>
          </c:extLst>
        </c:ser>
        <c:dLbls>
          <c:showLegendKey val="0"/>
          <c:showVal val="0"/>
          <c:showCatName val="0"/>
          <c:showSerName val="0"/>
          <c:showPercent val="0"/>
          <c:showBubbleSize val="0"/>
        </c:dLbls>
        <c:smooth val="0"/>
        <c:axId val="1166231808"/>
        <c:axId val="1166232288"/>
      </c:lineChart>
      <c:catAx>
        <c:axId val="116623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66232288"/>
        <c:crosses val="autoZero"/>
        <c:auto val="1"/>
        <c:lblAlgn val="ctr"/>
        <c:lblOffset val="100"/>
        <c:noMultiLvlLbl val="0"/>
      </c:catAx>
      <c:valAx>
        <c:axId val="116623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6623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[Excel_Sales_Analysis_Salimeh_Bagherpour.xlsx]Analysis!PivotTable2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Total</c:v>
                </c:pt>
              </c:strCache>
            </c:strRef>
          </c:tx>
          <c:spPr>
            <a:solidFill>
              <a:schemeClr val="accent1"/>
            </a:solidFill>
            <a:ln>
              <a:noFill/>
            </a:ln>
            <a:effectLst/>
          </c:spPr>
          <c:invertIfNegative val="0"/>
          <c:cat>
            <c:strRef>
              <c:f>Analysis!$D$4:$D$8</c:f>
              <c:strCache>
                <c:ptCount val="4"/>
                <c:pt idx="0">
                  <c:v>Keyboard</c:v>
                </c:pt>
                <c:pt idx="1">
                  <c:v>Laptop</c:v>
                </c:pt>
                <c:pt idx="2">
                  <c:v>Monitor</c:v>
                </c:pt>
                <c:pt idx="3">
                  <c:v>Mouse</c:v>
                </c:pt>
              </c:strCache>
            </c:strRef>
          </c:cat>
          <c:val>
            <c:numRef>
              <c:f>Analysis!$E$4:$E$8</c:f>
              <c:numCache>
                <c:formatCode>General</c:formatCode>
                <c:ptCount val="4"/>
                <c:pt idx="0">
                  <c:v>460</c:v>
                </c:pt>
                <c:pt idx="1">
                  <c:v>3390</c:v>
                </c:pt>
                <c:pt idx="2">
                  <c:v>1480</c:v>
                </c:pt>
                <c:pt idx="3">
                  <c:v>414</c:v>
                </c:pt>
              </c:numCache>
            </c:numRef>
          </c:val>
          <c:extLst>
            <c:ext xmlns:c16="http://schemas.microsoft.com/office/drawing/2014/chart" uri="{C3380CC4-5D6E-409C-BE32-E72D297353CC}">
              <c16:uniqueId val="{00000000-CC6A-442B-9A4C-EC6AA30A5E7B}"/>
            </c:ext>
          </c:extLst>
        </c:ser>
        <c:dLbls>
          <c:showLegendKey val="0"/>
          <c:showVal val="0"/>
          <c:showCatName val="0"/>
          <c:showSerName val="0"/>
          <c:showPercent val="0"/>
          <c:showBubbleSize val="0"/>
        </c:dLbls>
        <c:gapWidth val="219"/>
        <c:overlap val="-27"/>
        <c:axId val="1251486176"/>
        <c:axId val="1251487136"/>
      </c:barChart>
      <c:catAx>
        <c:axId val="125148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51487136"/>
        <c:crosses val="autoZero"/>
        <c:auto val="1"/>
        <c:lblAlgn val="ctr"/>
        <c:lblOffset val="100"/>
        <c:noMultiLvlLbl val="0"/>
      </c:catAx>
      <c:valAx>
        <c:axId val="125148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5148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0</xdr:row>
      <xdr:rowOff>171450</xdr:rowOff>
    </xdr:from>
    <xdr:to>
      <xdr:col>9</xdr:col>
      <xdr:colOff>9524</xdr:colOff>
      <xdr:row>14</xdr:row>
      <xdr:rowOff>171450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E458FF4F-D267-FE52-C727-9D5BE62CF24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323239" y="171450"/>
              <a:ext cx="1836964" cy="26670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xdr:colOff>
      <xdr:row>1</xdr:row>
      <xdr:rowOff>0</xdr:rowOff>
    </xdr:from>
    <xdr:to>
      <xdr:col>13</xdr:col>
      <xdr:colOff>19050</xdr:colOff>
      <xdr:row>15</xdr:row>
      <xdr:rowOff>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00C4C615-47DD-7B42-5FD0-16BC33C98BB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82050" y="190500"/>
              <a:ext cx="1836964" cy="26670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11</xdr:row>
      <xdr:rowOff>23812</xdr:rowOff>
    </xdr:from>
    <xdr:to>
      <xdr:col>5</xdr:col>
      <xdr:colOff>361950</xdr:colOff>
      <xdr:row>25</xdr:row>
      <xdr:rowOff>100012</xdr:rowOff>
    </xdr:to>
    <xdr:graphicFrame macro="">
      <xdr:nvGraphicFramePr>
        <xdr:cNvPr id="4" name="Chart 3">
          <a:extLst>
            <a:ext uri="{FF2B5EF4-FFF2-40B4-BE49-F238E27FC236}">
              <a16:creationId xmlns:a16="http://schemas.microsoft.com/office/drawing/2014/main" id="{F6E33073-DDCF-F1EC-98C6-15141AD29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605895</xdr:colOff>
      <xdr:row>15</xdr:row>
      <xdr:rowOff>100012</xdr:rowOff>
    </xdr:from>
    <xdr:to>
      <xdr:col>13</xdr:col>
      <xdr:colOff>301095</xdr:colOff>
      <xdr:row>29</xdr:row>
      <xdr:rowOff>176212</xdr:rowOff>
    </xdr:to>
    <xdr:graphicFrame macro="">
      <xdr:nvGraphicFramePr>
        <xdr:cNvPr id="5" name="Chart 4">
          <a:extLst>
            <a:ext uri="{FF2B5EF4-FFF2-40B4-BE49-F238E27FC236}">
              <a16:creationId xmlns:a16="http://schemas.microsoft.com/office/drawing/2014/main" id="{374E4DA9-E5AB-6A44-D9DF-540F4825F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K" refreshedDate="46282.818170949075" createdVersion="8" refreshedVersion="8" minRefreshableVersion="3" recordCount="12" xr:uid="{D335B2BC-A8C2-40D8-8206-67EEA542F261}">
  <cacheSource type="worksheet">
    <worksheetSource name="SalesTable"/>
  </cacheSource>
  <cacheFields count="13">
    <cacheField name="OrderID" numFmtId="0">
      <sharedItems containsSemiMixedTypes="0" containsString="0" containsNumber="1" containsInteger="1" minValue="1001" maxValue="1012"/>
    </cacheField>
    <cacheField name="Date" numFmtId="14">
      <sharedItems containsSemiMixedTypes="0" containsNonDate="0" containsDate="1" containsString="0" minDate="2026-01-05T00:00:00" maxDate="2026-04-13T00:00:00" count="12">
        <d v="2026-01-05T00:00:00"/>
        <d v="2026-01-08T00:00:00"/>
        <d v="2026-01-15T00:00:00"/>
        <d v="2026-02-02T00:00:00"/>
        <d v="2026-02-10T00:00:00"/>
        <d v="2026-02-18T00:00:00"/>
        <d v="2026-03-03T00:00:00"/>
        <d v="2026-03-09T00:00:00"/>
        <d v="2026-03-14T00:00:00"/>
        <d v="2026-03-22T00:00:00"/>
        <d v="2026-04-05T00:00:00"/>
        <d v="2026-04-12T00:00:00"/>
      </sharedItems>
      <fieldGroup par="12"/>
    </cacheField>
    <cacheField name="CustomerID" numFmtId="0">
      <sharedItems count="5">
        <s v="C01"/>
        <s v="C02"/>
        <s v="C03"/>
        <s v="C04"/>
        <s v="C05"/>
      </sharedItems>
    </cacheField>
    <cacheField name="Product" numFmtId="0">
      <sharedItems count="4">
        <s v="Laptop"/>
        <s v="Mouse"/>
        <s v="Monitor"/>
        <s v="Keyboard"/>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17" maxValue="900"/>
    </cacheField>
    <cacheField name="Revenue" numFmtId="0">
      <sharedItems containsSemiMixedTypes="0" containsString="0" containsNumber="1" containsInteger="1" minValue="90" maxValue="1640"/>
    </cacheField>
    <cacheField name="CustomerName" numFmtId="0">
      <sharedItems/>
    </cacheField>
    <cacheField name="City" numFmtId="0">
      <sharedItems count="3">
        <s v="Berlin"/>
        <s v="Hamburg"/>
        <s v="Munich"/>
      </sharedItems>
    </cacheField>
    <cacheField name="Segment" numFmtId="0">
      <sharedItems count="3">
        <s v="Retail"/>
        <s v="Corporate"/>
        <s v="Small Business"/>
      </sharedItems>
    </cacheField>
    <cacheField name=" OrderLevel" numFmtId="0">
      <sharedItems/>
    </cacheField>
    <cacheField name="Days (Date)" numFmtId="0" databaseField="0">
      <fieldGroup base="1">
        <rangePr groupBy="days" startDate="2026-01-05T00:00:00" endDate="2026-04-13T00:00:00"/>
        <groupItems count="368">
          <s v="&lt;1/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3/2026"/>
        </groupItems>
      </fieldGroup>
    </cacheField>
    <cacheField name="Months (Date)" numFmtId="0" databaseField="0">
      <fieldGroup base="1">
        <rangePr groupBy="months" startDate="2026-01-05T00:00:00" endDate="2026-04-13T00:00:00"/>
        <groupItems count="14">
          <s v="&lt;1/5/2026"/>
          <s v="Jan"/>
          <s v="Feb"/>
          <s v="Mar"/>
          <s v="Apr"/>
          <s v="May"/>
          <s v="Jun"/>
          <s v="Jul"/>
          <s v="Aug"/>
          <s v="Sep"/>
          <s v="Oct"/>
          <s v="Nov"/>
          <s v="Dec"/>
          <s v="&gt;4/13/2026"/>
        </groupItems>
      </fieldGroup>
    </cacheField>
  </cacheFields>
  <extLst>
    <ext xmlns:x14="http://schemas.microsoft.com/office/spreadsheetml/2009/9/main" uri="{725AE2AE-9491-48be-B2B4-4EB974FC3084}">
      <x14:pivotCacheDefinition pivotCacheId="347139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01"/>
    <x v="0"/>
    <x v="0"/>
    <x v="0"/>
    <n v="1"/>
    <n v="900"/>
    <n v="900"/>
    <s v="Sara"/>
    <x v="0"/>
    <x v="0"/>
    <s v="High"/>
  </r>
  <r>
    <n v="1002"/>
    <x v="1"/>
    <x v="1"/>
    <x v="1"/>
    <n v="5"/>
    <n v="20"/>
    <n v="100"/>
    <s v="Ali"/>
    <x v="1"/>
    <x v="1"/>
    <s v="High"/>
  </r>
  <r>
    <n v="1003"/>
    <x v="2"/>
    <x v="2"/>
    <x v="2"/>
    <n v="2"/>
    <n v="250"/>
    <n v="500"/>
    <s v="Mina"/>
    <x v="0"/>
    <x v="0"/>
    <s v="High"/>
  </r>
  <r>
    <n v="1004"/>
    <x v="3"/>
    <x v="0"/>
    <x v="3"/>
    <n v="2"/>
    <n v="45"/>
    <n v="90"/>
    <s v="Sara"/>
    <x v="0"/>
    <x v="0"/>
    <s v="High"/>
  </r>
  <r>
    <n v="1005"/>
    <x v="4"/>
    <x v="3"/>
    <x v="0"/>
    <n v="1"/>
    <n v="850"/>
    <n v="850"/>
    <s v="Reza"/>
    <x v="2"/>
    <x v="1"/>
    <s v="High"/>
  </r>
  <r>
    <n v="1006"/>
    <x v="5"/>
    <x v="4"/>
    <x v="1"/>
    <n v="8"/>
    <n v="18"/>
    <n v="144"/>
    <s v="Neda"/>
    <x v="0"/>
    <x v="2"/>
    <s v="High"/>
  </r>
  <r>
    <n v="1007"/>
    <x v="6"/>
    <x v="1"/>
    <x v="2"/>
    <n v="1"/>
    <n v="260"/>
    <n v="260"/>
    <s v="Ali"/>
    <x v="1"/>
    <x v="1"/>
    <s v="High"/>
  </r>
  <r>
    <n v="1008"/>
    <x v="7"/>
    <x v="2"/>
    <x v="3"/>
    <n v="4"/>
    <n v="40"/>
    <n v="160"/>
    <s v="Mina"/>
    <x v="0"/>
    <x v="0"/>
    <s v="High"/>
  </r>
  <r>
    <n v="1009"/>
    <x v="8"/>
    <x v="3"/>
    <x v="0"/>
    <n v="2"/>
    <n v="820"/>
    <n v="1640"/>
    <s v="Reza"/>
    <x v="2"/>
    <x v="1"/>
    <s v="High"/>
  </r>
  <r>
    <n v="1010"/>
    <x v="9"/>
    <x v="4"/>
    <x v="1"/>
    <n v="10"/>
    <n v="17"/>
    <n v="170"/>
    <s v="Neda"/>
    <x v="0"/>
    <x v="2"/>
    <s v="High"/>
  </r>
  <r>
    <n v="1011"/>
    <x v="10"/>
    <x v="0"/>
    <x v="2"/>
    <n v="3"/>
    <n v="240"/>
    <n v="720"/>
    <s v="Sara"/>
    <x v="0"/>
    <x v="0"/>
    <s v="High"/>
  </r>
  <r>
    <n v="1012"/>
    <x v="11"/>
    <x v="1"/>
    <x v="3"/>
    <n v="5"/>
    <n v="42"/>
    <n v="210"/>
    <s v="Ali"/>
    <x v="1"/>
    <x v="1"/>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7E8D5C-DDA7-4FA4-8D1D-CB2E92F06CA9}"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8:Q24" firstHeaderRow="1" firstDataRow="1" firstDataCol="1"/>
  <pivotFields count="13">
    <pivotField showAll="0"/>
    <pivotField numFmtId="14" showAll="0">
      <items count="13">
        <item x="0"/>
        <item x="1"/>
        <item x="2"/>
        <item x="3"/>
        <item x="4"/>
        <item x="5"/>
        <item x="6"/>
        <item x="7"/>
        <item x="8"/>
        <item x="9"/>
        <item x="10"/>
        <item x="11"/>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3"/>
    </i>
    <i>
      <x/>
    </i>
    <i>
      <x v="2"/>
    </i>
    <i>
      <x v="1"/>
    </i>
    <i>
      <x v="4"/>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DFB780-5238-4838-9E58-1A60BF705E1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7:Q12" firstHeaderRow="1" firstDataRow="1" firstDataCol="1"/>
  <pivotFields count="13">
    <pivotField showAll="0"/>
    <pivotField numFmtId="14" showAll="0">
      <items count="13">
        <item x="0"/>
        <item x="1"/>
        <item x="2"/>
        <item x="3"/>
        <item x="4"/>
        <item x="5"/>
        <item x="6"/>
        <item x="7"/>
        <item x="8"/>
        <item x="9"/>
        <item x="10"/>
        <item x="11"/>
        <item t="default"/>
      </items>
    </pivotField>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v="1"/>
    </i>
    <i>
      <x v="2"/>
    </i>
    <i>
      <x/>
    </i>
    <i>
      <x v="3"/>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976F9-4B8C-46DB-A72F-12C9D24F131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3">
    <pivotField showAll="0"/>
    <pivotField numFmtId="14"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items count="4">
        <item x="0"/>
        <item x="1"/>
        <item x="2"/>
        <item t="default"/>
      </items>
    </pivotField>
    <pivotField showAll="0">
      <items count="4">
        <item x="1"/>
        <item x="0"/>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
    <i>
      <x v="1"/>
    </i>
    <i>
      <x v="2"/>
    </i>
    <i>
      <x v="3"/>
    </i>
    <i>
      <x v="4"/>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4A8BF3-8519-47D9-BC00-BCEFC771C8C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8" firstHeaderRow="1" firstDataRow="1" firstDataCol="1"/>
  <pivotFields count="13">
    <pivotField showAll="0"/>
    <pivotField numFmtId="14" showAll="0">
      <items count="13">
        <item x="0"/>
        <item x="1"/>
        <item x="2"/>
        <item x="3"/>
        <item x="4"/>
        <item x="5"/>
        <item x="6"/>
        <item x="7"/>
        <item x="8"/>
        <item x="9"/>
        <item x="10"/>
        <item x="11"/>
        <item t="default"/>
      </items>
    </pivotField>
    <pivotField showAll="0"/>
    <pivotField axis="axisRow" showAll="0">
      <items count="5">
        <item x="3"/>
        <item x="0"/>
        <item x="2"/>
        <item x="1"/>
        <item t="default"/>
      </items>
    </pivotField>
    <pivotField showAll="0"/>
    <pivotField showAll="0"/>
    <pivotField dataField="1" showAll="0"/>
    <pivotField showAll="0"/>
    <pivotField showAll="0">
      <items count="4">
        <item x="0"/>
        <item x="1"/>
        <item x="2"/>
        <item t="default"/>
      </items>
    </pivotField>
    <pivotField showAll="0">
      <items count="4">
        <item x="1"/>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820700E-64AA-4A0C-8245-F8BFAE170352}" sourceName="City">
  <pivotTables>
    <pivotTable tabId="5" name="PivotTable2"/>
    <pivotTable tabId="5" name="PivotTable1"/>
  </pivotTables>
  <data>
    <tabular pivotCacheId="3471393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8D89E05-D26A-49CC-B63D-7D21392E4CCE}" sourceName="Segment">
  <pivotTables>
    <pivotTable tabId="5" name="PivotTable2"/>
    <pivotTable tabId="5" name="PivotTable1"/>
  </pivotTables>
  <data>
    <tabular pivotCacheId="34713937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E0F48F1-528A-4153-8A30-6D590A965D56}" cache="Slicer_City" caption="City" rowHeight="257175"/>
  <slicer name="Segment" xr10:uid="{5166F1B5-E29B-4699-9792-21A9A7E3AFDB}" cache="Slicer_Segment" caption="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499051-BD96-4354-BE3C-8CD5DFD4DFDB}" name="SalesTable" displayName="SalesTable" ref="A1:K13" totalsRowShown="0">
  <autoFilter ref="A1:K13" xr:uid="{B4499051-BD96-4354-BE3C-8CD5DFD4DFDB}"/>
  <tableColumns count="11">
    <tableColumn id="1" xr3:uid="{B0B2FE2E-64EB-4636-B0AD-12185A63BDA6}" name="OrderID"/>
    <tableColumn id="2" xr3:uid="{7AA09BD0-FC7B-4397-940B-1E0B0409AC5B}" name="Date" dataDxfId="5"/>
    <tableColumn id="3" xr3:uid="{5D082226-F8FA-4CCA-B9F8-57E90272E3A5}" name="CustomerID"/>
    <tableColumn id="4" xr3:uid="{87FA5D4A-EEA6-4745-8EC2-4AAE4ED2A2E5}" name="Product"/>
    <tableColumn id="5" xr3:uid="{EEC9607F-5082-4A71-8B98-C369E03A2E46}" name="Quantity"/>
    <tableColumn id="6" xr3:uid="{C7320012-A761-4D33-9CA5-D681FA8497C6}" name="UnitPrice"/>
    <tableColumn id="7" xr3:uid="{65B4AE1F-9100-423F-8C3C-003821851A43}" name="Revenue" dataDxfId="4">
      <calculatedColumnFormula>SalesTable[[#This Row],[Quantity]]*SalesTable[[#This Row],[UnitPrice]]</calculatedColumnFormula>
    </tableColumn>
    <tableColumn id="8" xr3:uid="{61697B8D-07FA-412F-A534-5814B2CBD081}" name="CustomerName" dataDxfId="3">
      <calculatedColumnFormula>_xlfn.XLOOKUP(SalesTable[[#This Row],[CustomerID]],CustomerTable[CustomerID],CustomerTable[CustomerName],"Not Found")</calculatedColumnFormula>
    </tableColumn>
    <tableColumn id="9" xr3:uid="{A5ED41C3-9E34-4DAC-8F8A-2B69AC093FF9}" name="City" dataDxfId="2">
      <calculatedColumnFormula>_xlfn.XLOOKUP(SalesTable[[#This Row],[CustomerID]],CustomerTable[CustomerID],CustomerTable[City],"Not Found")</calculatedColumnFormula>
    </tableColumn>
    <tableColumn id="10" xr3:uid="{85822D1B-9109-4353-9E49-D2385608BC8B}" name="Segment" dataDxfId="1">
      <calculatedColumnFormula>_xlfn.XLOOKUP(SalesTable[[#This Row],[CustomerID]],CustomerTable[CustomerID],CustomerTable[Segment],"Not Found")</calculatedColumnFormula>
    </tableColumn>
    <tableColumn id="11" xr3:uid="{ED5ABA7D-446B-415F-A8CF-40B27A5D6F8F}" name=" OrderLevel" dataDxfId="0">
      <calculatedColumnFormula>IF(K3&gt;=500,"High","Normal")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36103B-EA2D-4905-93E8-2718C5F678D8}" name="CustomerTable" displayName="CustomerTable" ref="A1:D6" totalsRowShown="0">
  <autoFilter ref="A1:D6" xr:uid="{4C36103B-EA2D-4905-93E8-2718C5F678D8}"/>
  <tableColumns count="4">
    <tableColumn id="1" xr3:uid="{42B80D61-FA47-4364-A88C-C007E5D6AD63}" name="CustomerID"/>
    <tableColumn id="2" xr3:uid="{0C10CCA4-D31E-4479-985F-8C23BC7EADB1}" name="CustomerName"/>
    <tableColumn id="3" xr3:uid="{4878DBEF-8B7D-4EBE-9209-0D237D7295DB}" name="City"/>
    <tableColumn id="4" xr3:uid="{306B63AE-4367-47A2-8567-A07288EB1C7E}" name="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0C05-9400-48FE-A00A-05A711F42E93}">
  <dimension ref="A1:D15"/>
  <sheetViews>
    <sheetView tabSelected="1" workbookViewId="0">
      <selection activeCell="B15" sqref="B15"/>
    </sheetView>
  </sheetViews>
  <sheetFormatPr defaultRowHeight="15" x14ac:dyDescent="0.25"/>
  <cols>
    <col min="1" max="1" width="35.7109375" customWidth="1"/>
    <col min="2" max="2" width="32.7109375" customWidth="1"/>
    <col min="3" max="3" width="18.7109375" customWidth="1"/>
    <col min="4" max="4" width="65.7109375" customWidth="1"/>
  </cols>
  <sheetData>
    <row r="1" spans="1:4" ht="21" x14ac:dyDescent="0.35">
      <c r="A1" s="8" t="s">
        <v>38</v>
      </c>
      <c r="B1" s="8"/>
      <c r="C1" s="8"/>
      <c r="D1" s="8"/>
    </row>
    <row r="2" spans="1:4" ht="15.75" x14ac:dyDescent="0.25">
      <c r="A2" s="11" t="s">
        <v>39</v>
      </c>
      <c r="B2" s="11"/>
      <c r="C2" s="11"/>
      <c r="D2" s="11"/>
    </row>
    <row r="4" spans="1:4" x14ac:dyDescent="0.25">
      <c r="A4" s="9" t="s">
        <v>40</v>
      </c>
      <c r="B4" s="9" t="s">
        <v>41</v>
      </c>
      <c r="C4" s="9" t="s">
        <v>42</v>
      </c>
      <c r="D4" s="9" t="s">
        <v>43</v>
      </c>
    </row>
    <row r="5" spans="1:4" ht="30" x14ac:dyDescent="0.25">
      <c r="A5" s="10" t="s">
        <v>44</v>
      </c>
      <c r="B5" s="10" t="s">
        <v>45</v>
      </c>
      <c r="C5" s="10" t="s">
        <v>46</v>
      </c>
      <c r="D5" s="10" t="s">
        <v>47</v>
      </c>
    </row>
    <row r="6" spans="1:4" ht="30" x14ac:dyDescent="0.25">
      <c r="A6" s="10" t="s">
        <v>48</v>
      </c>
      <c r="B6" s="10" t="s">
        <v>49</v>
      </c>
      <c r="C6" s="10" t="s">
        <v>50</v>
      </c>
      <c r="D6" s="10" t="s">
        <v>51</v>
      </c>
    </row>
    <row r="7" spans="1:4" ht="30" x14ac:dyDescent="0.25">
      <c r="A7" s="10" t="s">
        <v>52</v>
      </c>
      <c r="B7" s="10" t="s">
        <v>53</v>
      </c>
      <c r="C7" s="10" t="s">
        <v>54</v>
      </c>
      <c r="D7" s="10" t="s">
        <v>55</v>
      </c>
    </row>
    <row r="10" spans="1:4" x14ac:dyDescent="0.25">
      <c r="A10" s="12" t="s">
        <v>56</v>
      </c>
      <c r="B10" s="12"/>
    </row>
    <row r="11" spans="1:4" x14ac:dyDescent="0.25">
      <c r="A11" t="s">
        <v>57</v>
      </c>
      <c r="B11">
        <f>SUM(SalesTable[Revenue])</f>
        <v>5744</v>
      </c>
    </row>
    <row r="12" spans="1:4" x14ac:dyDescent="0.25">
      <c r="A12" t="s">
        <v>58</v>
      </c>
      <c r="B12">
        <f>GETPIVOTDATA("Revenue",Analysis!$A$3)</f>
        <v>5744</v>
      </c>
    </row>
    <row r="13" spans="1:4" x14ac:dyDescent="0.25">
      <c r="A13" t="s">
        <v>59</v>
      </c>
      <c r="B13">
        <f>GETPIVOTDATA("Revenue",Analysis!$D$3)</f>
        <v>5744</v>
      </c>
    </row>
    <row r="14" spans="1:4" x14ac:dyDescent="0.25">
      <c r="A14" t="s">
        <v>60</v>
      </c>
      <c r="B14">
        <f>GETPIVOTDATA("Revenue",Analysis!$P$18)</f>
        <v>5744</v>
      </c>
    </row>
    <row r="15" spans="1:4" x14ac:dyDescent="0.25">
      <c r="A15" t="s">
        <v>61</v>
      </c>
      <c r="B15" t="str">
        <f>IF(AND(B11=B12,B11=B13,B11=B14),"PASS","CHECK")</f>
        <v>PASS</v>
      </c>
    </row>
  </sheetData>
  <mergeCells count="3">
    <mergeCell ref="A1:D1"/>
    <mergeCell ref="A2:D2"/>
    <mergeCell ref="A10: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3274-AAEC-4F2B-B68F-C62D947A3695}">
  <dimension ref="A3:T24"/>
  <sheetViews>
    <sheetView zoomScale="70" zoomScaleNormal="70" workbookViewId="0">
      <selection activeCell="P31" sqref="P31"/>
    </sheetView>
  </sheetViews>
  <sheetFormatPr defaultRowHeight="15" x14ac:dyDescent="0.25"/>
  <cols>
    <col min="1" max="1" width="17.85546875" bestFit="1" customWidth="1"/>
    <col min="2" max="2" width="20.28515625" bestFit="1" customWidth="1"/>
    <col min="4" max="4" width="17.85546875" bestFit="1" customWidth="1"/>
    <col min="5" max="5" width="20.28515625" bestFit="1" customWidth="1"/>
    <col min="16" max="16" width="17.85546875" bestFit="1" customWidth="1"/>
    <col min="17" max="17" width="20.28515625" bestFit="1" customWidth="1"/>
    <col min="18" max="18" width="13.5703125" bestFit="1" customWidth="1"/>
  </cols>
  <sheetData>
    <row r="3" spans="1:17" x14ac:dyDescent="0.25">
      <c r="A3" s="3" t="s">
        <v>31</v>
      </c>
      <c r="B3" t="s">
        <v>36</v>
      </c>
      <c r="D3" s="3" t="s">
        <v>31</v>
      </c>
      <c r="E3" t="s">
        <v>36</v>
      </c>
    </row>
    <row r="4" spans="1:17" x14ac:dyDescent="0.25">
      <c r="A4" s="4" t="s">
        <v>33</v>
      </c>
      <c r="B4" s="2">
        <v>1500</v>
      </c>
      <c r="D4" s="4" t="s">
        <v>10</v>
      </c>
      <c r="E4" s="2">
        <v>460</v>
      </c>
    </row>
    <row r="5" spans="1:17" x14ac:dyDescent="0.25">
      <c r="A5" s="4" t="s">
        <v>37</v>
      </c>
      <c r="B5" s="2">
        <v>1084</v>
      </c>
      <c r="D5" s="4" t="s">
        <v>6</v>
      </c>
      <c r="E5" s="2">
        <v>3390</v>
      </c>
    </row>
    <row r="6" spans="1:17" x14ac:dyDescent="0.25">
      <c r="A6" s="4" t="s">
        <v>34</v>
      </c>
      <c r="B6" s="2">
        <v>2230</v>
      </c>
      <c r="D6" s="4" t="s">
        <v>11</v>
      </c>
      <c r="E6" s="2">
        <v>1480</v>
      </c>
    </row>
    <row r="7" spans="1:17" x14ac:dyDescent="0.25">
      <c r="A7" s="4" t="s">
        <v>35</v>
      </c>
      <c r="B7" s="2">
        <v>930</v>
      </c>
      <c r="D7" s="4" t="s">
        <v>8</v>
      </c>
      <c r="E7" s="2">
        <v>414</v>
      </c>
      <c r="P7" s="3" t="s">
        <v>31</v>
      </c>
      <c r="Q7" t="s">
        <v>36</v>
      </c>
    </row>
    <row r="8" spans="1:17" x14ac:dyDescent="0.25">
      <c r="A8" s="4" t="s">
        <v>32</v>
      </c>
      <c r="B8" s="2">
        <v>5744</v>
      </c>
      <c r="D8" s="4" t="s">
        <v>32</v>
      </c>
      <c r="E8" s="2">
        <v>5744</v>
      </c>
      <c r="P8" s="4" t="s">
        <v>6</v>
      </c>
      <c r="Q8" s="2">
        <v>3390</v>
      </c>
    </row>
    <row r="9" spans="1:17" x14ac:dyDescent="0.25">
      <c r="P9" s="4" t="s">
        <v>11</v>
      </c>
      <c r="Q9" s="2">
        <v>1480</v>
      </c>
    </row>
    <row r="10" spans="1:17" x14ac:dyDescent="0.25">
      <c r="P10" s="4" t="s">
        <v>10</v>
      </c>
      <c r="Q10" s="2">
        <v>460</v>
      </c>
    </row>
    <row r="11" spans="1:17" x14ac:dyDescent="0.25">
      <c r="P11" s="4" t="s">
        <v>8</v>
      </c>
      <c r="Q11" s="2">
        <v>414</v>
      </c>
    </row>
    <row r="12" spans="1:17" x14ac:dyDescent="0.25">
      <c r="P12" s="4" t="s">
        <v>32</v>
      </c>
      <c r="Q12" s="2">
        <v>5744</v>
      </c>
    </row>
    <row r="18" spans="16:20" x14ac:dyDescent="0.25">
      <c r="P18" s="3" t="s">
        <v>31</v>
      </c>
      <c r="Q18" t="s">
        <v>36</v>
      </c>
    </row>
    <row r="19" spans="16:20" x14ac:dyDescent="0.25">
      <c r="P19" s="4" t="s">
        <v>17</v>
      </c>
      <c r="Q19" s="2">
        <v>2490</v>
      </c>
    </row>
    <row r="20" spans="16:20" x14ac:dyDescent="0.25">
      <c r="P20" s="4" t="s">
        <v>14</v>
      </c>
      <c r="Q20" s="2">
        <v>1710</v>
      </c>
      <c r="R20" s="6">
        <f>SUMIFS(SalesTable[Revenue],SalesTable[CustomerID],"C04")</f>
        <v>2490</v>
      </c>
      <c r="T20" s="7">
        <f>2490/5744</f>
        <v>0.4334958217270195</v>
      </c>
    </row>
    <row r="21" spans="16:20" x14ac:dyDescent="0.25">
      <c r="P21" s="4" t="s">
        <v>16</v>
      </c>
      <c r="Q21" s="2">
        <v>660</v>
      </c>
    </row>
    <row r="22" spans="16:20" x14ac:dyDescent="0.25">
      <c r="P22" s="4" t="s">
        <v>15</v>
      </c>
      <c r="Q22" s="2">
        <v>570</v>
      </c>
    </row>
    <row r="23" spans="16:20" x14ac:dyDescent="0.25">
      <c r="P23" s="4" t="s">
        <v>18</v>
      </c>
      <c r="Q23" s="2">
        <v>314</v>
      </c>
    </row>
    <row r="24" spans="16:20" x14ac:dyDescent="0.25">
      <c r="P24" s="4" t="s">
        <v>32</v>
      </c>
      <c r="Q24" s="2">
        <v>5744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54D7-DF71-4EEC-B28E-D73D903E50A7}">
  <dimension ref="A1:R13"/>
  <sheetViews>
    <sheetView workbookViewId="0">
      <selection activeCell="G8" sqref="G8"/>
    </sheetView>
  </sheetViews>
  <sheetFormatPr defaultRowHeight="15" x14ac:dyDescent="0.25"/>
  <cols>
    <col min="1" max="1" width="10.28515625" customWidth="1"/>
    <col min="3" max="3" width="14.140625" customWidth="1"/>
    <col min="4" max="4" width="10.140625" customWidth="1"/>
    <col min="5" max="5" width="10.85546875" customWidth="1"/>
    <col min="6" max="6" width="11.42578125" customWidth="1"/>
    <col min="7" max="7" width="22.5703125" customWidth="1"/>
    <col min="8" max="8" width="15.42578125" customWidth="1"/>
    <col min="10" max="10" width="17.42578125" customWidth="1"/>
    <col min="11" max="11" width="18" customWidth="1"/>
  </cols>
  <sheetData>
    <row r="1" spans="1:18" x14ac:dyDescent="0.25">
      <c r="A1" t="s">
        <v>0</v>
      </c>
      <c r="B1" t="s">
        <v>1</v>
      </c>
      <c r="C1" t="s">
        <v>13</v>
      </c>
      <c r="D1" t="s">
        <v>2</v>
      </c>
      <c r="E1" t="s">
        <v>4</v>
      </c>
      <c r="F1" t="s">
        <v>5</v>
      </c>
      <c r="G1" t="s">
        <v>30</v>
      </c>
      <c r="H1" t="s">
        <v>19</v>
      </c>
      <c r="I1" t="s">
        <v>3</v>
      </c>
      <c r="J1" t="s">
        <v>20</v>
      </c>
      <c r="K1" t="s">
        <v>29</v>
      </c>
    </row>
    <row r="2" spans="1:18" x14ac:dyDescent="0.25">
      <c r="A2">
        <v>1001</v>
      </c>
      <c r="B2" s="1">
        <v>46027</v>
      </c>
      <c r="C2" t="s">
        <v>14</v>
      </c>
      <c r="D2" t="s">
        <v>6</v>
      </c>
      <c r="E2">
        <v>1</v>
      </c>
      <c r="F2">
        <v>900</v>
      </c>
      <c r="G2">
        <f>SalesTable[[#This Row],[Quantity]]*SalesTable[[#This Row],[UnitPrice]]</f>
        <v>900</v>
      </c>
      <c r="H2" t="str">
        <f>_xlfn.XLOOKUP(SalesTable[[#This Row],[CustomerID]],CustomerTable[CustomerID],CustomerTable[CustomerName],"Not Found")</f>
        <v>Sara</v>
      </c>
      <c r="I2" t="str">
        <f>_xlfn.XLOOKUP(SalesTable[[#This Row],[CustomerID]],CustomerTable[CustomerID],CustomerTable[City],"Not Found")</f>
        <v>Berlin</v>
      </c>
      <c r="J2" t="str">
        <f>_xlfn.XLOOKUP(SalesTable[[#This Row],[CustomerID]],CustomerTable[CustomerID],CustomerTable[Segment],"Not Found")</f>
        <v>Retail</v>
      </c>
      <c r="K2" t="str">
        <f t="shared" ref="K2:K13" si="0">IF(K3&gt;=500,"High","Normal")</f>
        <v>High</v>
      </c>
    </row>
    <row r="3" spans="1:18" x14ac:dyDescent="0.25">
      <c r="A3">
        <v>1002</v>
      </c>
      <c r="B3" s="1">
        <v>46030</v>
      </c>
      <c r="C3" t="s">
        <v>15</v>
      </c>
      <c r="D3" t="s">
        <v>8</v>
      </c>
      <c r="E3">
        <v>5</v>
      </c>
      <c r="F3">
        <v>20</v>
      </c>
      <c r="G3">
        <f>SalesTable[[#This Row],[Quantity]]*SalesTable[[#This Row],[UnitPrice]]</f>
        <v>100</v>
      </c>
      <c r="H3" t="str">
        <f>_xlfn.XLOOKUP(SalesTable[[#This Row],[CustomerID]],CustomerTable[CustomerID],CustomerTable[CustomerName],"Not Found")</f>
        <v>Ali</v>
      </c>
      <c r="I3" t="str">
        <f>_xlfn.XLOOKUP(SalesTable[[#This Row],[CustomerID]],CustomerTable[CustomerID],CustomerTable[City],"Not Found")</f>
        <v>Hamburg</v>
      </c>
      <c r="J3" t="str">
        <f>_xlfn.XLOOKUP(SalesTable[[#This Row],[CustomerID]],CustomerTable[CustomerID],CustomerTable[Segment],"Not Found")</f>
        <v>Corporate</v>
      </c>
      <c r="K3" t="str">
        <f t="shared" si="0"/>
        <v>High</v>
      </c>
      <c r="P3">
        <f>COUNTIFS(G2:G13,"&gt;=500")</f>
        <v>5</v>
      </c>
      <c r="R3">
        <f>SUMIFS(SalesTable[Revenue],SalesTable[Product],"Laptop")</f>
        <v>3390</v>
      </c>
    </row>
    <row r="4" spans="1:18" x14ac:dyDescent="0.25">
      <c r="A4">
        <v>1003</v>
      </c>
      <c r="B4" s="1">
        <v>46037</v>
      </c>
      <c r="C4" t="s">
        <v>16</v>
      </c>
      <c r="D4" t="s">
        <v>11</v>
      </c>
      <c r="E4">
        <v>2</v>
      </c>
      <c r="F4">
        <v>250</v>
      </c>
      <c r="G4">
        <f>SalesTable[[#This Row],[Quantity]]*SalesTable[[#This Row],[UnitPrice]]</f>
        <v>500</v>
      </c>
      <c r="H4" t="str">
        <f>_xlfn.XLOOKUP(SalesTable[[#This Row],[CustomerID]],CustomerTable[CustomerID],CustomerTable[CustomerName],"Not Found")</f>
        <v>Mina</v>
      </c>
      <c r="I4" t="str">
        <f>_xlfn.XLOOKUP(SalesTable[[#This Row],[CustomerID]],CustomerTable[CustomerID],CustomerTable[City],"Not Found")</f>
        <v>Berlin</v>
      </c>
      <c r="J4" t="str">
        <f>_xlfn.XLOOKUP(SalesTable[[#This Row],[CustomerID]],CustomerTable[CustomerID],CustomerTable[Segment],"Not Found")</f>
        <v>Retail</v>
      </c>
      <c r="K4" t="str">
        <f t="shared" si="0"/>
        <v>High</v>
      </c>
      <c r="M4" cm="1">
        <f t="array" ref="M4">SUMPRODUCT((D2:D13="Laptop")*G2:G13)</f>
        <v>3390</v>
      </c>
      <c r="Q4">
        <f>COUNTIFS(SalesTable[Product],"Mouse",SalesTable[Revenue],"&gt;100")</f>
        <v>2</v>
      </c>
    </row>
    <row r="5" spans="1:18" x14ac:dyDescent="0.25">
      <c r="A5">
        <v>1004</v>
      </c>
      <c r="B5" s="1">
        <v>46055</v>
      </c>
      <c r="C5" t="s">
        <v>14</v>
      </c>
      <c r="D5" t="s">
        <v>10</v>
      </c>
      <c r="E5">
        <v>2</v>
      </c>
      <c r="F5">
        <v>45</v>
      </c>
      <c r="G5">
        <f>SalesTable[[#This Row],[Quantity]]*SalesTable[[#This Row],[UnitPrice]]</f>
        <v>90</v>
      </c>
      <c r="H5" t="str">
        <f>_xlfn.XLOOKUP(SalesTable[[#This Row],[CustomerID]],CustomerTable[CustomerID],CustomerTable[CustomerName],"Not Found")</f>
        <v>Sara</v>
      </c>
      <c r="I5" t="str">
        <f>_xlfn.XLOOKUP(SalesTable[[#This Row],[CustomerID]],CustomerTable[CustomerID],CustomerTable[City],"Not Found")</f>
        <v>Berlin</v>
      </c>
      <c r="J5" t="str">
        <f>_xlfn.XLOOKUP(SalesTable[[#This Row],[CustomerID]],CustomerTable[CustomerID],CustomerTable[Segment],"Not Found")</f>
        <v>Retail</v>
      </c>
      <c r="K5" t="str">
        <f t="shared" si="0"/>
        <v>High</v>
      </c>
      <c r="O5">
        <f>SUMIFS(G2:G13,I2:I13,"Berlin")</f>
        <v>2684</v>
      </c>
      <c r="R5">
        <f>SUM(SalesTable[Revenue])</f>
        <v>5744</v>
      </c>
    </row>
    <row r="6" spans="1:18" x14ac:dyDescent="0.25">
      <c r="A6">
        <v>1005</v>
      </c>
      <c r="B6" s="1">
        <v>46063</v>
      </c>
      <c r="C6" t="s">
        <v>17</v>
      </c>
      <c r="D6" t="s">
        <v>6</v>
      </c>
      <c r="E6">
        <v>1</v>
      </c>
      <c r="F6">
        <v>850</v>
      </c>
      <c r="G6">
        <f>SalesTable[[#This Row],[Quantity]]*SalesTable[[#This Row],[UnitPrice]]</f>
        <v>850</v>
      </c>
      <c r="H6" t="str">
        <f>_xlfn.XLOOKUP(SalesTable[[#This Row],[CustomerID]],CustomerTable[CustomerID],CustomerTable[CustomerName],"Not Found")</f>
        <v>Reza</v>
      </c>
      <c r="I6" t="str">
        <f>_xlfn.XLOOKUP(SalesTable[[#This Row],[CustomerID]],CustomerTable[CustomerID],CustomerTable[City],"Not Found")</f>
        <v>Munich</v>
      </c>
      <c r="J6" t="str">
        <f>_xlfn.XLOOKUP(SalesTable[[#This Row],[CustomerID]],CustomerTable[CustomerID],CustomerTable[Segment],"Not Found")</f>
        <v>Corporate</v>
      </c>
      <c r="K6" t="str">
        <f t="shared" si="0"/>
        <v>High</v>
      </c>
      <c r="Q6">
        <f>SUM(SalesTable[Revenue])</f>
        <v>5744</v>
      </c>
    </row>
    <row r="7" spans="1:18" x14ac:dyDescent="0.25">
      <c r="A7">
        <v>1006</v>
      </c>
      <c r="B7" s="1">
        <v>46071</v>
      </c>
      <c r="C7" t="s">
        <v>18</v>
      </c>
      <c r="D7" t="s">
        <v>8</v>
      </c>
      <c r="E7">
        <v>8</v>
      </c>
      <c r="F7">
        <v>18</v>
      </c>
      <c r="G7">
        <f>SalesTable[[#This Row],[Quantity]]*SalesTable[[#This Row],[UnitPrice]]</f>
        <v>144</v>
      </c>
      <c r="H7" t="str">
        <f>_xlfn.XLOOKUP(SalesTable[[#This Row],[CustomerID]],CustomerTable[CustomerID],CustomerTable[CustomerName],"Not Found")</f>
        <v>Neda</v>
      </c>
      <c r="I7" t="str">
        <f>_xlfn.XLOOKUP(SalesTable[[#This Row],[CustomerID]],CustomerTable[CustomerID],CustomerTable[City],"Not Found")</f>
        <v>Berlin</v>
      </c>
      <c r="J7" t="str">
        <f>_xlfn.XLOOKUP(SalesTable[[#This Row],[CustomerID]],CustomerTable[CustomerID],CustomerTable[Segment],"Not Found")</f>
        <v>Small Business</v>
      </c>
      <c r="K7" t="str">
        <f t="shared" si="0"/>
        <v>High</v>
      </c>
      <c r="N7">
        <f>SUMIFS(G2:G13,J2:J13,"Corporate")</f>
        <v>3060</v>
      </c>
    </row>
    <row r="8" spans="1:18" x14ac:dyDescent="0.25">
      <c r="A8">
        <v>1007</v>
      </c>
      <c r="B8" s="1">
        <v>46084</v>
      </c>
      <c r="C8" t="s">
        <v>15</v>
      </c>
      <c r="D8" t="s">
        <v>11</v>
      </c>
      <c r="E8">
        <v>1</v>
      </c>
      <c r="F8">
        <v>260</v>
      </c>
      <c r="G8">
        <f>SalesTable[[#This Row],[Quantity]]*SalesTable[[#This Row],[UnitPrice]]</f>
        <v>260</v>
      </c>
      <c r="H8" t="str">
        <f>_xlfn.XLOOKUP(SalesTable[[#This Row],[CustomerID]],CustomerTable[CustomerID],CustomerTable[CustomerName],"Not Found")</f>
        <v>Ali</v>
      </c>
      <c r="I8" t="str">
        <f>_xlfn.XLOOKUP(SalesTable[[#This Row],[CustomerID]],CustomerTable[CustomerID],CustomerTable[City],"Not Found")</f>
        <v>Hamburg</v>
      </c>
      <c r="J8" t="str">
        <f>_xlfn.XLOOKUP(SalesTable[[#This Row],[CustomerID]],CustomerTable[CustomerID],CustomerTable[Segment],"Not Found")</f>
        <v>Corporate</v>
      </c>
      <c r="K8" t="str">
        <f t="shared" si="0"/>
        <v>High</v>
      </c>
    </row>
    <row r="9" spans="1:18" x14ac:dyDescent="0.25">
      <c r="A9">
        <v>1008</v>
      </c>
      <c r="B9" s="1">
        <v>46090</v>
      </c>
      <c r="C9" t="s">
        <v>16</v>
      </c>
      <c r="D9" t="s">
        <v>10</v>
      </c>
      <c r="E9">
        <v>4</v>
      </c>
      <c r="F9">
        <v>40</v>
      </c>
      <c r="G9">
        <f>SalesTable[[#This Row],[Quantity]]*SalesTable[[#This Row],[UnitPrice]]</f>
        <v>160</v>
      </c>
      <c r="H9" t="str">
        <f>_xlfn.XLOOKUP(SalesTable[[#This Row],[CustomerID]],CustomerTable[CustomerID],CustomerTable[CustomerName],"Not Found")</f>
        <v>Mina</v>
      </c>
      <c r="I9" t="str">
        <f>_xlfn.XLOOKUP(SalesTable[[#This Row],[CustomerID]],CustomerTable[CustomerID],CustomerTable[City],"Not Found")</f>
        <v>Berlin</v>
      </c>
      <c r="J9" t="str">
        <f>_xlfn.XLOOKUP(SalesTable[[#This Row],[CustomerID]],CustomerTable[CustomerID],CustomerTable[Segment],"Not Found")</f>
        <v>Retail</v>
      </c>
      <c r="K9" t="str">
        <f t="shared" si="0"/>
        <v>High</v>
      </c>
      <c r="Q9">
        <f>SUM(SalesTable[[#Headers],[Revenue]])</f>
        <v>0</v>
      </c>
    </row>
    <row r="10" spans="1:18" x14ac:dyDescent="0.25">
      <c r="A10">
        <v>1009</v>
      </c>
      <c r="B10" s="1">
        <v>46095</v>
      </c>
      <c r="C10" t="s">
        <v>17</v>
      </c>
      <c r="D10" t="s">
        <v>6</v>
      </c>
      <c r="E10">
        <v>2</v>
      </c>
      <c r="F10">
        <v>820</v>
      </c>
      <c r="G10">
        <f>SalesTable[[#This Row],[Quantity]]*SalesTable[[#This Row],[UnitPrice]]</f>
        <v>1640</v>
      </c>
      <c r="H10" t="str">
        <f>_xlfn.XLOOKUP(SalesTable[[#This Row],[CustomerID]],CustomerTable[CustomerID],CustomerTable[CustomerName],"Not Found")</f>
        <v>Reza</v>
      </c>
      <c r="I10" t="str">
        <f>_xlfn.XLOOKUP(SalesTable[[#This Row],[CustomerID]],CustomerTable[CustomerID],CustomerTable[City],"Not Found")</f>
        <v>Munich</v>
      </c>
      <c r="J10" t="str">
        <f>_xlfn.XLOOKUP(SalesTable[[#This Row],[CustomerID]],CustomerTable[CustomerID],CustomerTable[Segment],"Not Found")</f>
        <v>Corporate</v>
      </c>
      <c r="K10" t="str">
        <f t="shared" si="0"/>
        <v>High</v>
      </c>
      <c r="O10">
        <f>SUMIFS(G2:G13,I2:I13,"Berlin")</f>
        <v>2684</v>
      </c>
    </row>
    <row r="11" spans="1:18" x14ac:dyDescent="0.25">
      <c r="A11">
        <v>1010</v>
      </c>
      <c r="B11" s="1">
        <v>46103</v>
      </c>
      <c r="C11" t="s">
        <v>18</v>
      </c>
      <c r="D11" t="s">
        <v>8</v>
      </c>
      <c r="E11">
        <v>10</v>
      </c>
      <c r="F11">
        <v>17</v>
      </c>
      <c r="G11">
        <f>SalesTable[[#This Row],[Quantity]]*SalesTable[[#This Row],[UnitPrice]]</f>
        <v>170</v>
      </c>
      <c r="H11" t="str">
        <f>_xlfn.XLOOKUP(SalesTable[[#This Row],[CustomerID]],CustomerTable[CustomerID],CustomerTable[CustomerName],"Not Found")</f>
        <v>Neda</v>
      </c>
      <c r="I11" t="str">
        <f>_xlfn.XLOOKUP(SalesTable[[#This Row],[CustomerID]],CustomerTable[CustomerID],CustomerTable[City],"Not Found")</f>
        <v>Berlin</v>
      </c>
      <c r="J11" t="str">
        <f>_xlfn.XLOOKUP(SalesTable[[#This Row],[CustomerID]],CustomerTable[CustomerID],CustomerTable[Segment],"Not Found")</f>
        <v>Small Business</v>
      </c>
      <c r="K11" t="str">
        <f t="shared" si="0"/>
        <v>High</v>
      </c>
      <c r="N11" s="5">
        <f>2230/5744</f>
        <v>0.38823119777158777</v>
      </c>
    </row>
    <row r="12" spans="1:18" x14ac:dyDescent="0.25">
      <c r="A12">
        <v>1011</v>
      </c>
      <c r="B12" s="1">
        <v>46117</v>
      </c>
      <c r="C12" t="s">
        <v>14</v>
      </c>
      <c r="D12" t="s">
        <v>11</v>
      </c>
      <c r="E12">
        <v>3</v>
      </c>
      <c r="F12">
        <v>240</v>
      </c>
      <c r="G12">
        <f>SalesTable[[#This Row],[Quantity]]*SalesTable[[#This Row],[UnitPrice]]</f>
        <v>720</v>
      </c>
      <c r="H12" t="str">
        <f>_xlfn.XLOOKUP(SalesTable[[#This Row],[CustomerID]],CustomerTable[CustomerID],CustomerTable[CustomerName],"Not Found")</f>
        <v>Sara</v>
      </c>
      <c r="I12" t="str">
        <f>_xlfn.XLOOKUP(SalesTable[[#This Row],[CustomerID]],CustomerTable[CustomerID],CustomerTable[City],"Not Found")</f>
        <v>Berlin</v>
      </c>
      <c r="J12" t="str">
        <f>_xlfn.XLOOKUP(SalesTable[[#This Row],[CustomerID]],CustomerTable[CustomerID],CustomerTable[Segment],"Not Found")</f>
        <v>Retail</v>
      </c>
      <c r="K12" t="str">
        <f t="shared" si="0"/>
        <v>High</v>
      </c>
    </row>
    <row r="13" spans="1:18" x14ac:dyDescent="0.25">
      <c r="A13">
        <v>1012</v>
      </c>
      <c r="B13" s="1">
        <v>46124</v>
      </c>
      <c r="C13" t="s">
        <v>15</v>
      </c>
      <c r="D13" t="s">
        <v>10</v>
      </c>
      <c r="E13">
        <v>5</v>
      </c>
      <c r="F13">
        <v>42</v>
      </c>
      <c r="G13">
        <f>SalesTable[[#This Row],[Quantity]]*SalesTable[[#This Row],[UnitPrice]]</f>
        <v>210</v>
      </c>
      <c r="H13" t="str">
        <f>_xlfn.XLOOKUP(SalesTable[[#This Row],[CustomerID]],CustomerTable[CustomerID],CustomerTable[CustomerName],"Not Found")</f>
        <v>Ali</v>
      </c>
      <c r="I13" t="str">
        <f>_xlfn.XLOOKUP(SalesTable[[#This Row],[CustomerID]],CustomerTable[CustomerID],CustomerTable[City],"Not Found")</f>
        <v>Hamburg</v>
      </c>
      <c r="J13" t="str">
        <f>_xlfn.XLOOKUP(SalesTable[[#This Row],[CustomerID]],CustomerTable[CustomerID],CustomerTable[Segment],"Not Found")</f>
        <v>Corporate</v>
      </c>
      <c r="K13" t="str">
        <f t="shared" si="0"/>
        <v>Normal</v>
      </c>
      <c r="M13">
        <f>SUM(SalesTable[Revenue])</f>
        <v>5744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F255-CB9E-46FB-9D32-98F1B71B4D50}">
  <dimension ref="A1:D6"/>
  <sheetViews>
    <sheetView workbookViewId="0">
      <selection activeCell="C4" sqref="C4"/>
    </sheetView>
  </sheetViews>
  <sheetFormatPr defaultRowHeight="15" x14ac:dyDescent="0.25"/>
  <cols>
    <col min="1" max="1" width="14.140625" customWidth="1"/>
    <col min="2" max="2" width="17.42578125" customWidth="1"/>
    <col min="4" max="4" width="11.140625" customWidth="1"/>
  </cols>
  <sheetData>
    <row r="1" spans="1:4" x14ac:dyDescent="0.25">
      <c r="A1" t="s">
        <v>13</v>
      </c>
      <c r="B1" t="s">
        <v>19</v>
      </c>
      <c r="C1" t="s">
        <v>3</v>
      </c>
      <c r="D1" t="s">
        <v>20</v>
      </c>
    </row>
    <row r="2" spans="1:4" x14ac:dyDescent="0.25">
      <c r="A2" t="s">
        <v>14</v>
      </c>
      <c r="B2" t="s">
        <v>21</v>
      </c>
      <c r="C2" t="s">
        <v>7</v>
      </c>
      <c r="D2" t="s">
        <v>22</v>
      </c>
    </row>
    <row r="3" spans="1:4" x14ac:dyDescent="0.25">
      <c r="A3" t="s">
        <v>15</v>
      </c>
      <c r="B3" t="s">
        <v>23</v>
      </c>
      <c r="C3" t="s">
        <v>9</v>
      </c>
      <c r="D3" t="s">
        <v>24</v>
      </c>
    </row>
    <row r="4" spans="1:4" x14ac:dyDescent="0.25">
      <c r="A4" t="s">
        <v>16</v>
      </c>
      <c r="B4" t="s">
        <v>25</v>
      </c>
      <c r="C4" t="s">
        <v>7</v>
      </c>
      <c r="D4" t="s">
        <v>22</v>
      </c>
    </row>
    <row r="5" spans="1:4" x14ac:dyDescent="0.25">
      <c r="A5" t="s">
        <v>17</v>
      </c>
      <c r="B5" t="s">
        <v>26</v>
      </c>
      <c r="C5" t="s">
        <v>12</v>
      </c>
      <c r="D5" t="s">
        <v>24</v>
      </c>
    </row>
    <row r="6" spans="1:4" x14ac:dyDescent="0.25">
      <c r="A6" t="s">
        <v>18</v>
      </c>
      <c r="B6" t="s">
        <v>27</v>
      </c>
      <c r="C6" t="s">
        <v>7</v>
      </c>
      <c r="D6"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Insights</vt:lpstr>
      <vt:lpstr>Analysis</vt:lpstr>
      <vt:lpstr>SalesTable</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dc:creator>
  <cp:lastModifiedBy>KK</cp:lastModifiedBy>
  <dcterms:created xsi:type="dcterms:W3CDTF">2026-09-15T06:55:36Z</dcterms:created>
  <dcterms:modified xsi:type="dcterms:W3CDTF">2026-09-28T06:18:46Z</dcterms:modified>
</cp:coreProperties>
</file>